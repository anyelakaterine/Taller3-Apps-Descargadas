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yel\Downloads\"/>
    </mc:Choice>
  </mc:AlternateContent>
  <xr:revisionPtr revIDLastSave="0" documentId="8_{1C7B954B-2BD5-4F42-975E-1639CF1319CA}" xr6:coauthVersionLast="47" xr6:coauthVersionMax="47" xr10:uidLastSave="{00000000-0000-0000-0000-000000000000}"/>
  <bookViews>
    <workbookView xWindow="-120" yWindow="-120" windowWidth="20730" windowHeight="11040" xr2:uid="{8BA6DD4E-77EA-4EDC-ADE3-04AC6991CB36}"/>
  </bookViews>
  <sheets>
    <sheet name="Hoja1" sheetId="1" r:id="rId1"/>
  </sheets>
  <definedNames>
    <definedName name="_xlchart.v1.0" hidden="1">Hoja1!$K$1</definedName>
    <definedName name="_xlchart.v1.1" hidden="1">Hoja1!$K$2:$K$8</definedName>
    <definedName name="_xlchart.v1.10" hidden="1">Hoja1!$K$2:$K$8</definedName>
    <definedName name="_xlchart.v1.11" hidden="1">Hoja1!$L$1</definedName>
    <definedName name="_xlchart.v1.12" hidden="1">Hoja1!$L$2:$L$8</definedName>
    <definedName name="_xlchart.v1.13" hidden="1">Hoja1!$N$1</definedName>
    <definedName name="_xlchart.v1.14" hidden="1">Hoja1!$N$2:$N$8</definedName>
    <definedName name="_xlchart.v1.2" hidden="1">Hoja1!$L$1</definedName>
    <definedName name="_xlchart.v1.3" hidden="1">Hoja1!$L$2:$L$8</definedName>
    <definedName name="_xlchart.v1.4" hidden="1">Hoja1!$N$1</definedName>
    <definedName name="_xlchart.v1.5" hidden="1">Hoja1!$N$2:$N$8</definedName>
    <definedName name="_xlchart.v1.6" hidden="1">Hoja1!$J$2:$J$8</definedName>
    <definedName name="_xlchart.v1.7" hidden="1">Hoja1!$N$1</definedName>
    <definedName name="_xlchart.v1.8" hidden="1">Hoja1!$N$2:$N$8</definedName>
    <definedName name="_xlchart.v1.9" hidden="1">Hoja1!$K$1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L7" i="1"/>
  <c r="K7" i="1"/>
  <c r="M3" i="1"/>
  <c r="M2" i="1"/>
  <c r="L16" i="1" l="1"/>
  <c r="N2" i="1"/>
  <c r="P2" i="1" s="1"/>
  <c r="L15" i="1"/>
  <c r="L13" i="1"/>
  <c r="L14" i="1" s="1"/>
  <c r="L12" i="1"/>
  <c r="K2" i="1" s="1"/>
  <c r="K3" i="1" l="1"/>
  <c r="L3" i="1" l="1"/>
  <c r="N3" i="1"/>
  <c r="K4" i="1"/>
  <c r="L4" i="1" s="1"/>
  <c r="P3" i="1" l="1"/>
  <c r="M4" i="1"/>
  <c r="K5" i="1"/>
  <c r="L5" i="1" s="1"/>
  <c r="M5" i="1" l="1"/>
  <c r="N5" i="1"/>
  <c r="N4" i="1"/>
  <c r="K6" i="1"/>
  <c r="L6" i="1" s="1"/>
  <c r="P4" i="1" l="1"/>
  <c r="P5" i="1" s="1"/>
  <c r="N6" i="1"/>
  <c r="P6" i="1" l="1"/>
  <c r="M6" i="1"/>
  <c r="K8" i="1"/>
  <c r="L8" i="1" s="1"/>
  <c r="N7" i="1" l="1"/>
  <c r="N8" i="1"/>
  <c r="M7" i="1"/>
  <c r="P7" i="1" l="1"/>
  <c r="P8" i="1" s="1"/>
  <c r="N9" i="1"/>
  <c r="M8" i="1"/>
  <c r="O2" i="1" l="1"/>
  <c r="O3" i="1"/>
  <c r="O4" i="1"/>
  <c r="O5" i="1"/>
  <c r="O6" i="1"/>
  <c r="O8" i="1"/>
  <c r="O7" i="1"/>
  <c r="O9" i="1" l="1"/>
  <c r="Q2" i="1"/>
  <c r="Q3" i="1" s="1"/>
  <c r="Q4" i="1" s="1"/>
  <c r="Q5" i="1" s="1"/>
  <c r="Q6" i="1" s="1"/>
  <c r="Q7" i="1" s="1"/>
  <c r="Q8" i="1" s="1"/>
</calcChain>
</file>

<file path=xl/sharedStrings.xml><?xml version="1.0" encoding="utf-8"?>
<sst xmlns="http://schemas.openxmlformats.org/spreadsheetml/2006/main" count="127" uniqueCount="36">
  <si>
    <t>LÍMITE INFERIOR</t>
  </si>
  <si>
    <t>LÍMITE SUPERIOR</t>
  </si>
  <si>
    <t>PUNTO MEDIO (MARCA DE CLASE)</t>
  </si>
  <si>
    <t>FRECUENCIA ABSOLUTA</t>
  </si>
  <si>
    <t>FRECUENCIA RELATIVA</t>
  </si>
  <si>
    <t>FRECUENCIA ACOMULADA</t>
  </si>
  <si>
    <t>FRECUENCIA RELATIVA ACUMULADA</t>
  </si>
  <si>
    <t>ID</t>
  </si>
  <si>
    <t>País</t>
  </si>
  <si>
    <t>Estado Socioeconómico</t>
  </si>
  <si>
    <t>Apps Descargadas</t>
  </si>
  <si>
    <t>Tiempo en Celular (horas)</t>
  </si>
  <si>
    <t>México|</t>
  </si>
  <si>
    <t>Medio</t>
  </si>
  <si>
    <t>Colombia</t>
  </si>
  <si>
    <t>Bajo</t>
  </si>
  <si>
    <t>Argentina</t>
  </si>
  <si>
    <t>Alto</t>
  </si>
  <si>
    <t>México</t>
  </si>
  <si>
    <t>Chile</t>
  </si>
  <si>
    <t>Perú</t>
  </si>
  <si>
    <t>DATOS MINIMO</t>
  </si>
  <si>
    <t>DATOS MAXIMO</t>
  </si>
  <si>
    <t>RANGO</t>
  </si>
  <si>
    <t>NÚMERO DE CALSES</t>
  </si>
  <si>
    <t>AMPLITUD DE CLASE</t>
  </si>
  <si>
    <t xml:space="preserve">ALBITRARIAMENTE </t>
  </si>
  <si>
    <t>INTERVALOS</t>
  </si>
  <si>
    <t>30-45</t>
  </si>
  <si>
    <t>45-60</t>
  </si>
  <si>
    <t>60-75</t>
  </si>
  <si>
    <t>75-90</t>
  </si>
  <si>
    <t>90-105</t>
  </si>
  <si>
    <t>105-120</t>
  </si>
  <si>
    <t>120-135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</si>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</sst>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Calibri"/>
      <scheme val="minor"/>
    </font>
    <font>
      <sz val="1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808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8" fillId="0" borderId="0" xfId="0" applyFont="1" applyAlignment="1">
      <alignment horizontal="center"/>
    </xf>
    <xf numFmtId="1" fontId="0" fillId="0" borderId="3" xfId="0" applyNumberFormat="1" applyBorder="1"/>
    <xf numFmtId="1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9" fontId="0" fillId="0" borderId="3" xfId="1" applyFont="1" applyBorder="1"/>
    <xf numFmtId="9" fontId="0" fillId="0" borderId="3" xfId="1" applyFont="1" applyBorder="1" applyAlignment="1">
      <alignment horizontal="left" indent="11"/>
    </xf>
    <xf numFmtId="1" fontId="5" fillId="4" borderId="0" xfId="0" applyNumberFormat="1" applyFont="1" applyFill="1" applyAlignment="1">
      <alignment horizontal="center" vertical="center"/>
    </xf>
    <xf numFmtId="1" fontId="0" fillId="0" borderId="4" xfId="0" applyNumberFormat="1" applyBorder="1"/>
    <xf numFmtId="0" fontId="0" fillId="0" borderId="4" xfId="0" applyNumberFormat="1" applyBorder="1"/>
    <xf numFmtId="9" fontId="0" fillId="0" borderId="4" xfId="1" applyFont="1" applyBorder="1"/>
    <xf numFmtId="0" fontId="0" fillId="0" borderId="4" xfId="0" applyBorder="1"/>
    <xf numFmtId="0" fontId="0" fillId="0" borderId="10" xfId="0" applyBorder="1"/>
    <xf numFmtId="1" fontId="0" fillId="0" borderId="11" xfId="0" applyNumberFormat="1" applyBorder="1"/>
    <xf numFmtId="0" fontId="0" fillId="0" borderId="13" xfId="0" applyBorder="1"/>
    <xf numFmtId="0" fontId="0" fillId="0" borderId="14" xfId="0" applyBorder="1"/>
    <xf numFmtId="0" fontId="6" fillId="5" borderId="12" xfId="0" applyFont="1" applyFill="1" applyBorder="1" applyAlignment="1">
      <alignment vertical="center"/>
    </xf>
    <xf numFmtId="9" fontId="0" fillId="0" borderId="5" xfId="1" applyFont="1" applyBorder="1"/>
    <xf numFmtId="9" fontId="0" fillId="0" borderId="6" xfId="1" applyFont="1" applyBorder="1"/>
    <xf numFmtId="0" fontId="2" fillId="0" borderId="7" xfId="0" applyNumberFormat="1" applyFont="1" applyFill="1" applyBorder="1"/>
    <xf numFmtId="9" fontId="2" fillId="0" borderId="7" xfId="1" applyFont="1" applyFill="1" applyBorder="1"/>
    <xf numFmtId="0" fontId="10" fillId="0" borderId="0" xfId="0" applyFont="1" applyFill="1"/>
    <xf numFmtId="0" fontId="10" fillId="0" borderId="0" xfId="0" applyFont="1"/>
    <xf numFmtId="1" fontId="10" fillId="0" borderId="0" xfId="0" applyNumberFormat="1" applyFont="1"/>
    <xf numFmtId="0" fontId="9" fillId="3" borderId="0" xfId="0" applyFont="1" applyFill="1"/>
    <xf numFmtId="0" fontId="2" fillId="0" borderId="0" xfId="0" applyFo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Normal" xfId="0" builtinId="0"/>
    <cellStyle name="Porcentaje" xfId="1" builtinId="5"/>
  </cellStyles>
  <dxfs count="5">
    <dxf>
      <numFmt numFmtId="1" formatCode="0"/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Datos-style" pivot="0" count="4" xr9:uid="{1EF29763-21BB-4024-8237-C8A60A93DCE8}">
      <tableStyleElement type="wholeTable" size="0" dxfId="4"/>
      <tableStyleElement type="headerRow" dxfId="3"/>
      <tableStyleElement type="firstRowStripe" dxfId="2"/>
      <tableStyleElement type="secondRowStripe" dxfId="1"/>
    </tableStyle>
  </tableStyles>
  <colors>
    <mruColors>
      <color rgb="FF008080"/>
      <color rgb="FF001F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Poligono</a:t>
            </a:r>
            <a:r>
              <a:rPr lang="es-CO" baseline="0"/>
              <a:t> de frecuencias-Apps Descargadas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Hoja1!$M$2:$M$8</c:f>
              <c:numCache>
                <c:formatCode>0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xVal>
          <c:yVal>
            <c:numRef>
              <c:f>Hoja1!$N$2:$N$8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5-416B-8230-7811FDE0491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36659264"/>
        <c:axId val="1736658016"/>
      </c:scatterChart>
      <c:valAx>
        <c:axId val="1736659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6658016"/>
        <c:crosses val="autoZero"/>
        <c:crossBetween val="midCat"/>
      </c:valAx>
      <c:valAx>
        <c:axId val="17366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</a:t>
                </a:r>
                <a:r>
                  <a:rPr lang="es-CO" baseline="0"/>
                  <a:t> absoluta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6659264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Ovija- Frecuencia acumulada de Apps-Descargadas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Hoja1!$K$2:$K$8</c:f>
              <c:numCache>
                <c:formatCode>0</c:formatCode>
                <c:ptCount val="7"/>
                <c:pt idx="0" formatCode="General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90</c:v>
                </c:pt>
                <c:pt idx="5">
                  <c:v>105</c:v>
                </c:pt>
                <c:pt idx="6">
                  <c:v>120</c:v>
                </c:pt>
              </c:numCache>
            </c:numRef>
          </c:xVal>
          <c:yVal>
            <c:numRef>
              <c:f>Hoja1!$P$2:$P$8</c:f>
              <c:numCache>
                <c:formatCode>General</c:formatCode>
                <c:ptCount val="7"/>
                <c:pt idx="0">
                  <c:v>7</c:v>
                </c:pt>
                <c:pt idx="1">
                  <c:v>13</c:v>
                </c:pt>
                <c:pt idx="2">
                  <c:v>23</c:v>
                </c:pt>
                <c:pt idx="3">
                  <c:v>32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D-4613-9034-EAEAED6973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36652608"/>
        <c:axId val="1736650528"/>
      </c:scatterChart>
      <c:valAx>
        <c:axId val="173665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6650528"/>
        <c:crosses val="autoZero"/>
        <c:crossBetween val="midCat"/>
      </c:valAx>
      <c:valAx>
        <c:axId val="17366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acumulada(Fi)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665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Histograma de Frecuencia-Apps Descargadas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Histograma de Frecuencia-Apps Descargadas</a:t>
          </a:r>
        </a:p>
      </cx:txPr>
    </cx:title>
    <cx:plotArea>
      <cx:plotAreaRegion>
        <cx:series layoutId="clusteredColumn" uniqueId="{ADF5C2EE-DBEC-4440-A3B9-1D91C5E10112}" formatIdx="0">
          <cx:tx>
            <cx:txData>
              <cx:f>_xlchart.v1.7</cx:f>
              <cx:v>FRECUENCIA ABSOLUTA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tle>
          <cx:tx>
            <cx:txData>
              <cx:v>Intervalo de clase(App Descargadas)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Intervalo de clase(App Descargadas)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609600</xdr:colOff>
      <xdr:row>17</xdr:row>
      <xdr:rowOff>90487</xdr:rowOff>
    </xdr:from>
    <xdr:to>
      <xdr:col>12</xdr:col>
      <xdr:colOff>838200</xdr:colOff>
      <xdr:row>31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E744CA2-494F-493E-A50C-6E02772DC2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48725" y="35861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142875</xdr:colOff>
      <xdr:row>17</xdr:row>
      <xdr:rowOff>4762</xdr:rowOff>
    </xdr:from>
    <xdr:to>
      <xdr:col>16</xdr:col>
      <xdr:colOff>733425</xdr:colOff>
      <xdr:row>31</xdr:row>
      <xdr:rowOff>80962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7839E67-BF86-43C5-93BC-95D7EFDF9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704850</xdr:colOff>
      <xdr:row>34</xdr:row>
      <xdr:rowOff>166687</xdr:rowOff>
    </xdr:from>
    <xdr:to>
      <xdr:col>14</xdr:col>
      <xdr:colOff>1209675</xdr:colOff>
      <xdr:row>49</xdr:row>
      <xdr:rowOff>52387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B66A3A6-29B7-4E80-8928-30F136D00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CE7829-2113-443E-ACED-BC2B41FE7CB3}" name="DATOS" displayName="DATOS" ref="A1:E51">
  <tableColumns count="5">
    <tableColumn id="1" xr3:uid="{1ED91DEF-572D-42E0-A14C-5E03BD0268F9}" name="ID"/>
    <tableColumn id="2" xr3:uid="{EDD57793-A041-4F2D-95F9-07F87B3F3153}" name="País"/>
    <tableColumn id="3" xr3:uid="{05C5C448-E1B7-44A5-8B99-31079DB6DC9C}" name="Estado Socioeconómico"/>
    <tableColumn id="4" xr3:uid="{C9EF4799-9B4D-4BFC-857E-D163E3DC8115}" name="Apps Descargadas" dataDxfId="0"/>
    <tableColumn id="5" xr3:uid="{778D426D-4D78-473E-AE3A-CA8C08FEF865}" name="Tiempo en Celular (horas)"/>
  </tableColumns>
  <tableStyleInfo name="Datos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9D9A-8BE9-4CA7-9AE9-41288F089B86}">
  <dimension ref="A1:Q51"/>
  <sheetViews>
    <sheetView tabSelected="1" topLeftCell="H25" zoomScaleNormal="100" workbookViewId="0">
      <selection activeCell="L3" sqref="L3"/>
    </sheetView>
  </sheetViews>
  <sheetFormatPr baseColWidth="10" defaultRowHeight="15" x14ac:dyDescent="0.25"/>
  <cols>
    <col min="1" max="1" width="16.7109375" customWidth="1"/>
    <col min="2" max="2" width="18.85546875" customWidth="1"/>
    <col min="3" max="3" width="23.85546875" customWidth="1"/>
    <col min="4" max="4" width="17.85546875" customWidth="1"/>
    <col min="5" max="5" width="23.28515625" customWidth="1"/>
    <col min="8" max="8" width="0.140625" customWidth="1"/>
    <col min="9" max="9" width="10.28515625" customWidth="1"/>
    <col min="10" max="10" width="13" customWidth="1"/>
    <col min="11" max="11" width="20.7109375" customWidth="1"/>
    <col min="12" max="12" width="21.140625" customWidth="1"/>
    <col min="13" max="13" width="15.42578125" customWidth="1"/>
    <col min="14" max="14" width="24.42578125" customWidth="1"/>
    <col min="15" max="15" width="18.85546875" bestFit="1" customWidth="1"/>
    <col min="16" max="16" width="16.42578125" customWidth="1"/>
    <col min="17" max="17" width="14.7109375" customWidth="1"/>
  </cols>
  <sheetData>
    <row r="1" spans="1:17" ht="34.5" thickBot="1" x14ac:dyDescent="0.3">
      <c r="A1" s="1" t="s">
        <v>7</v>
      </c>
      <c r="B1" s="1" t="s">
        <v>8</v>
      </c>
      <c r="C1" s="1" t="s">
        <v>9</v>
      </c>
      <c r="D1" s="8" t="s">
        <v>10</v>
      </c>
      <c r="E1" s="1" t="s">
        <v>11</v>
      </c>
      <c r="J1" s="21" t="s">
        <v>27</v>
      </c>
      <c r="K1" s="2" t="s">
        <v>0</v>
      </c>
      <c r="L1" s="2" t="s">
        <v>1</v>
      </c>
      <c r="M1" s="2" t="s">
        <v>2</v>
      </c>
      <c r="N1" s="2" t="s">
        <v>3</v>
      </c>
      <c r="O1" s="3" t="s">
        <v>4</v>
      </c>
      <c r="P1" s="2" t="s">
        <v>5</v>
      </c>
      <c r="Q1" s="4" t="s">
        <v>6</v>
      </c>
    </row>
    <row r="2" spans="1:17" x14ac:dyDescent="0.25">
      <c r="A2" s="1">
        <v>1</v>
      </c>
      <c r="B2" s="1" t="s">
        <v>12</v>
      </c>
      <c r="C2" s="1" t="s">
        <v>13</v>
      </c>
      <c r="D2" s="12">
        <v>75</v>
      </c>
      <c r="E2" s="1">
        <v>4.5</v>
      </c>
      <c r="J2" s="19" t="s">
        <v>28</v>
      </c>
      <c r="K2" s="17">
        <f>L12</f>
        <v>30</v>
      </c>
      <c r="L2" s="13">
        <f>K2+M16</f>
        <v>45</v>
      </c>
      <c r="M2" s="13">
        <f t="shared" ref="M2:M8" si="0">(K2+L2)/2</f>
        <v>37.5</v>
      </c>
      <c r="N2" s="14">
        <f>COUNTIFS(DATOS[Apps Descargadas],"&gt;="&amp;K2,DATOS[Apps Descargadas], "&lt;"&amp;L2)</f>
        <v>7</v>
      </c>
      <c r="O2" s="15">
        <f>N2/N$9</f>
        <v>0.14000000000000001</v>
      </c>
      <c r="P2" s="16">
        <f>N2</f>
        <v>7</v>
      </c>
      <c r="Q2" s="22">
        <f>O2</f>
        <v>0.14000000000000001</v>
      </c>
    </row>
    <row r="3" spans="1:17" x14ac:dyDescent="0.25">
      <c r="A3" s="1">
        <v>2</v>
      </c>
      <c r="B3" s="1" t="s">
        <v>14</v>
      </c>
      <c r="C3" s="1" t="s">
        <v>15</v>
      </c>
      <c r="D3" s="12">
        <v>30</v>
      </c>
      <c r="E3" s="1">
        <v>2.8</v>
      </c>
      <c r="J3" s="19" t="s">
        <v>29</v>
      </c>
      <c r="K3" s="18">
        <f t="shared" ref="K3:K8" si="1">L2</f>
        <v>45</v>
      </c>
      <c r="L3" s="7">
        <f>K3+M16</f>
        <v>60</v>
      </c>
      <c r="M3" s="7">
        <f t="shared" si="0"/>
        <v>52.5</v>
      </c>
      <c r="N3" s="5">
        <f>COUNTIFS(DATOS[Apps Descargadas],"&gt;="&amp;K3,DATOS[Apps Descargadas], "&lt;"&amp;L3)</f>
        <v>6</v>
      </c>
      <c r="O3" s="10">
        <f t="shared" ref="O3:O5" si="2">N3/N$9</f>
        <v>0.12</v>
      </c>
      <c r="P3" s="5">
        <f t="shared" ref="P3:Q8" si="3">P2+N3</f>
        <v>13</v>
      </c>
      <c r="Q3" s="23">
        <f t="shared" si="3"/>
        <v>0.26</v>
      </c>
    </row>
    <row r="4" spans="1:17" x14ac:dyDescent="0.25">
      <c r="A4" s="1">
        <v>3</v>
      </c>
      <c r="B4" s="1" t="s">
        <v>16</v>
      </c>
      <c r="C4" s="1" t="s">
        <v>17</v>
      </c>
      <c r="D4" s="12">
        <v>120</v>
      </c>
      <c r="E4" s="1">
        <v>7.1</v>
      </c>
      <c r="J4" s="19" t="s">
        <v>30</v>
      </c>
      <c r="K4" s="18">
        <f t="shared" si="1"/>
        <v>60</v>
      </c>
      <c r="L4" s="7">
        <f>K4+M16</f>
        <v>75</v>
      </c>
      <c r="M4" s="7">
        <f t="shared" si="0"/>
        <v>67.5</v>
      </c>
      <c r="N4" s="5">
        <f>COUNTIFS(DATOS[Apps Descargadas],"&gt;="&amp;K4,DATOS[Apps Descargadas], "&lt;"&amp;L4)</f>
        <v>10</v>
      </c>
      <c r="O4" s="10">
        <f t="shared" si="2"/>
        <v>0.2</v>
      </c>
      <c r="P4" s="5">
        <f t="shared" si="3"/>
        <v>23</v>
      </c>
      <c r="Q4" s="23">
        <f t="shared" si="3"/>
        <v>0.46</v>
      </c>
    </row>
    <row r="5" spans="1:17" x14ac:dyDescent="0.25">
      <c r="A5" s="1">
        <v>4</v>
      </c>
      <c r="B5" s="1" t="s">
        <v>18</v>
      </c>
      <c r="C5" s="1" t="s">
        <v>13</v>
      </c>
      <c r="D5" s="12">
        <v>60</v>
      </c>
      <c r="E5" s="1">
        <v>5</v>
      </c>
      <c r="J5" s="19" t="s">
        <v>31</v>
      </c>
      <c r="K5" s="18">
        <f t="shared" si="1"/>
        <v>75</v>
      </c>
      <c r="L5" s="7">
        <f>K5+M16</f>
        <v>90</v>
      </c>
      <c r="M5" s="7">
        <f t="shared" si="0"/>
        <v>82.5</v>
      </c>
      <c r="N5" s="5">
        <f>COUNTIFS(DATOS[Apps Descargadas],"&gt;="&amp;K5,DATOS[Apps Descargadas], "&lt;"&amp;L5)</f>
        <v>9</v>
      </c>
      <c r="O5" s="10">
        <f t="shared" si="2"/>
        <v>0.18</v>
      </c>
      <c r="P5" s="5">
        <f t="shared" si="3"/>
        <v>32</v>
      </c>
      <c r="Q5" s="23">
        <f t="shared" si="3"/>
        <v>0.64</v>
      </c>
    </row>
    <row r="6" spans="1:17" x14ac:dyDescent="0.25">
      <c r="A6" s="1">
        <v>5</v>
      </c>
      <c r="B6" s="1" t="s">
        <v>19</v>
      </c>
      <c r="C6" s="1" t="s">
        <v>13</v>
      </c>
      <c r="D6" s="12">
        <v>85</v>
      </c>
      <c r="E6" s="1">
        <v>6.3</v>
      </c>
      <c r="J6" s="19" t="s">
        <v>32</v>
      </c>
      <c r="K6" s="18">
        <f t="shared" si="1"/>
        <v>90</v>
      </c>
      <c r="L6" s="7">
        <f>K6+M16</f>
        <v>105</v>
      </c>
      <c r="M6" s="7">
        <f t="shared" si="0"/>
        <v>97.5</v>
      </c>
      <c r="N6" s="5">
        <f>COUNTIFS(DATOS[Apps Descargadas],"&gt;="&amp;K6,DATOS[Apps Descargadas], "&lt;"&amp;L6)</f>
        <v>8</v>
      </c>
      <c r="O6" s="10">
        <f>N6/N$9</f>
        <v>0.16</v>
      </c>
      <c r="P6" s="5">
        <f t="shared" si="3"/>
        <v>40</v>
      </c>
      <c r="Q6" s="23">
        <f t="shared" si="3"/>
        <v>0.8</v>
      </c>
    </row>
    <row r="7" spans="1:17" x14ac:dyDescent="0.25">
      <c r="A7" s="1">
        <v>6</v>
      </c>
      <c r="B7" s="1" t="s">
        <v>20</v>
      </c>
      <c r="C7" s="1" t="s">
        <v>15</v>
      </c>
      <c r="D7" s="12">
        <v>45</v>
      </c>
      <c r="E7" s="1">
        <v>3.2</v>
      </c>
      <c r="J7" s="19" t="s">
        <v>33</v>
      </c>
      <c r="K7" s="18">
        <f t="shared" si="1"/>
        <v>105</v>
      </c>
      <c r="L7" s="7">
        <f>K7+M16</f>
        <v>120</v>
      </c>
      <c r="M7" s="7">
        <f t="shared" si="0"/>
        <v>112.5</v>
      </c>
      <c r="N7" s="5">
        <f>COUNTIFS(DATOS[Apps Descargadas],"&gt;="&amp;K7,DATOS[Apps Descargadas], "&lt;"&amp;L7)</f>
        <v>5</v>
      </c>
      <c r="O7" s="11">
        <f>N7/N9</f>
        <v>0.1</v>
      </c>
      <c r="P7" s="5">
        <f t="shared" si="3"/>
        <v>45</v>
      </c>
      <c r="Q7" s="23">
        <f t="shared" si="3"/>
        <v>0.9</v>
      </c>
    </row>
    <row r="8" spans="1:17" x14ac:dyDescent="0.25">
      <c r="A8" s="1">
        <v>7</v>
      </c>
      <c r="B8" s="1" t="s">
        <v>18</v>
      </c>
      <c r="C8" s="1" t="s">
        <v>13</v>
      </c>
      <c r="D8" s="12">
        <v>90</v>
      </c>
      <c r="E8" s="1">
        <v>5.8</v>
      </c>
      <c r="J8" s="19" t="s">
        <v>34</v>
      </c>
      <c r="K8" s="18">
        <f t="shared" si="1"/>
        <v>120</v>
      </c>
      <c r="L8" s="7">
        <f>K8+M16</f>
        <v>135</v>
      </c>
      <c r="M8" s="7">
        <f t="shared" si="0"/>
        <v>127.5</v>
      </c>
      <c r="N8" s="5">
        <f>COUNTIFS(DATOS[Apps Descargadas],"&gt;="&amp;K8,DATOS[Apps Descargadas], "&lt;"&amp;L8)</f>
        <v>5</v>
      </c>
      <c r="O8" s="10">
        <f>N8/N$9</f>
        <v>0.1</v>
      </c>
      <c r="P8" s="5">
        <f t="shared" si="3"/>
        <v>50</v>
      </c>
      <c r="Q8" s="23">
        <f t="shared" si="3"/>
        <v>1</v>
      </c>
    </row>
    <row r="9" spans="1:17" ht="15.75" thickBot="1" x14ac:dyDescent="0.3">
      <c r="A9" s="1">
        <v>8</v>
      </c>
      <c r="B9" s="1" t="s">
        <v>14</v>
      </c>
      <c r="C9" s="1" t="s">
        <v>13</v>
      </c>
      <c r="D9" s="12">
        <v>70</v>
      </c>
      <c r="E9" s="1">
        <v>4.0999999999999996</v>
      </c>
      <c r="J9" s="20" t="s">
        <v>35</v>
      </c>
      <c r="K9" s="31"/>
      <c r="L9" s="31"/>
      <c r="M9" s="32"/>
      <c r="N9" s="24">
        <f>SUM(N2:N8)</f>
        <v>50</v>
      </c>
      <c r="O9" s="25">
        <f>SUM(O2:O8)</f>
        <v>1</v>
      </c>
      <c r="P9" s="33"/>
      <c r="Q9" s="34"/>
    </row>
    <row r="10" spans="1:17" x14ac:dyDescent="0.25">
      <c r="A10" s="1">
        <v>9</v>
      </c>
      <c r="B10" s="1" t="s">
        <v>16</v>
      </c>
      <c r="C10" s="1" t="s">
        <v>13</v>
      </c>
      <c r="D10" s="12">
        <v>100</v>
      </c>
      <c r="E10" s="1">
        <v>6.5</v>
      </c>
    </row>
    <row r="11" spans="1:17" x14ac:dyDescent="0.25">
      <c r="A11" s="1">
        <v>10</v>
      </c>
      <c r="B11" s="1" t="s">
        <v>18</v>
      </c>
      <c r="C11" s="1" t="s">
        <v>15</v>
      </c>
      <c r="D11" s="12">
        <v>50</v>
      </c>
      <c r="E11" s="1">
        <v>3.9</v>
      </c>
    </row>
    <row r="12" spans="1:17" x14ac:dyDescent="0.25">
      <c r="A12" s="1">
        <v>11</v>
      </c>
      <c r="B12" s="1" t="s">
        <v>19</v>
      </c>
      <c r="C12" s="1" t="s">
        <v>17</v>
      </c>
      <c r="D12" s="12">
        <v>110</v>
      </c>
      <c r="E12" s="1">
        <v>7.8</v>
      </c>
      <c r="K12" s="6" t="s">
        <v>21</v>
      </c>
      <c r="L12" s="26">
        <f>MIN(DATOS[[#All],[Apps Descargadas]])</f>
        <v>30</v>
      </c>
      <c r="O12" s="30"/>
    </row>
    <row r="13" spans="1:17" x14ac:dyDescent="0.25">
      <c r="A13" s="1">
        <v>12</v>
      </c>
      <c r="B13" s="1" t="s">
        <v>20</v>
      </c>
      <c r="C13" s="1" t="s">
        <v>13</v>
      </c>
      <c r="D13" s="12">
        <v>65</v>
      </c>
      <c r="E13" s="1">
        <v>4.9000000000000004</v>
      </c>
      <c r="K13" s="6" t="s">
        <v>22</v>
      </c>
      <c r="L13" s="27">
        <f>MAX(DATOS[[#All],[Apps Descargadas]])</f>
        <v>132</v>
      </c>
    </row>
    <row r="14" spans="1:17" x14ac:dyDescent="0.25">
      <c r="A14" s="1">
        <v>13</v>
      </c>
      <c r="B14" s="1" t="s">
        <v>18</v>
      </c>
      <c r="C14" s="1" t="s">
        <v>13</v>
      </c>
      <c r="D14" s="12">
        <v>80</v>
      </c>
      <c r="E14" s="1">
        <v>5.3</v>
      </c>
      <c r="K14" s="6" t="s">
        <v>23</v>
      </c>
      <c r="L14" s="27">
        <f>L13-L12</f>
        <v>102</v>
      </c>
    </row>
    <row r="15" spans="1:17" x14ac:dyDescent="0.25">
      <c r="A15" s="1">
        <v>14</v>
      </c>
      <c r="B15" s="1" t="s">
        <v>14</v>
      </c>
      <c r="C15" s="1" t="s">
        <v>15</v>
      </c>
      <c r="D15" s="12">
        <v>35</v>
      </c>
      <c r="E15" s="1">
        <v>2.5</v>
      </c>
      <c r="K15" s="6" t="s">
        <v>24</v>
      </c>
      <c r="L15" s="27">
        <f>ROUNDUP(1+3.322*LOG10(50),0)</f>
        <v>7</v>
      </c>
      <c r="M15" s="9" t="s">
        <v>26</v>
      </c>
    </row>
    <row r="16" spans="1:17" x14ac:dyDescent="0.25">
      <c r="A16" s="1">
        <v>15</v>
      </c>
      <c r="B16" s="1" t="s">
        <v>16</v>
      </c>
      <c r="C16" s="1" t="s">
        <v>13</v>
      </c>
      <c r="D16" s="12">
        <v>95</v>
      </c>
      <c r="E16" s="1">
        <v>6</v>
      </c>
      <c r="K16" s="6" t="s">
        <v>25</v>
      </c>
      <c r="L16" s="28">
        <f>L14/L15</f>
        <v>14.571428571428571</v>
      </c>
      <c r="M16" s="29">
        <v>15</v>
      </c>
    </row>
    <row r="17" spans="1:5" x14ac:dyDescent="0.25">
      <c r="A17" s="1">
        <v>16</v>
      </c>
      <c r="B17" s="1" t="s">
        <v>18</v>
      </c>
      <c r="C17" s="1" t="s">
        <v>13</v>
      </c>
      <c r="D17" s="12">
        <v>70</v>
      </c>
      <c r="E17" s="1">
        <v>4.8</v>
      </c>
    </row>
    <row r="18" spans="1:5" x14ac:dyDescent="0.25">
      <c r="A18" s="1">
        <v>17</v>
      </c>
      <c r="B18" s="1" t="s">
        <v>19</v>
      </c>
      <c r="C18" s="1" t="s">
        <v>15</v>
      </c>
      <c r="D18" s="12">
        <v>40</v>
      </c>
      <c r="E18" s="1">
        <v>3</v>
      </c>
    </row>
    <row r="19" spans="1:5" x14ac:dyDescent="0.25">
      <c r="A19" s="1">
        <v>18</v>
      </c>
      <c r="B19" s="1" t="s">
        <v>20</v>
      </c>
      <c r="C19" s="1" t="s">
        <v>17</v>
      </c>
      <c r="D19" s="12">
        <v>130</v>
      </c>
      <c r="E19" s="1">
        <v>8.5</v>
      </c>
    </row>
    <row r="20" spans="1:5" x14ac:dyDescent="0.25">
      <c r="A20" s="1">
        <v>19</v>
      </c>
      <c r="B20" s="1" t="s">
        <v>18</v>
      </c>
      <c r="C20" s="1" t="s">
        <v>13</v>
      </c>
      <c r="D20" s="12">
        <v>105</v>
      </c>
      <c r="E20" s="1">
        <v>6.7</v>
      </c>
    </row>
    <row r="21" spans="1:5" x14ac:dyDescent="0.25">
      <c r="A21" s="1">
        <v>20</v>
      </c>
      <c r="B21" s="1" t="s">
        <v>14</v>
      </c>
      <c r="C21" s="1" t="s">
        <v>13</v>
      </c>
      <c r="D21" s="12">
        <v>80</v>
      </c>
      <c r="E21" s="1">
        <v>5.5</v>
      </c>
    </row>
    <row r="22" spans="1:5" x14ac:dyDescent="0.25">
      <c r="A22" s="1">
        <v>21</v>
      </c>
      <c r="B22" s="1" t="s">
        <v>18</v>
      </c>
      <c r="C22" s="1" t="s">
        <v>13</v>
      </c>
      <c r="D22" s="12">
        <v>72</v>
      </c>
      <c r="E22" s="1">
        <v>4.5999999999999996</v>
      </c>
    </row>
    <row r="23" spans="1:5" x14ac:dyDescent="0.25">
      <c r="A23" s="1">
        <v>22</v>
      </c>
      <c r="B23" s="1" t="s">
        <v>14</v>
      </c>
      <c r="C23" s="1" t="s">
        <v>15</v>
      </c>
      <c r="D23" s="12">
        <v>33</v>
      </c>
      <c r="E23" s="1">
        <v>2.9</v>
      </c>
    </row>
    <row r="24" spans="1:5" x14ac:dyDescent="0.25">
      <c r="A24" s="1">
        <v>23</v>
      </c>
      <c r="B24" s="1" t="s">
        <v>16</v>
      </c>
      <c r="C24" s="1" t="s">
        <v>17</v>
      </c>
      <c r="D24" s="12">
        <v>125</v>
      </c>
      <c r="E24" s="1">
        <v>7.3</v>
      </c>
    </row>
    <row r="25" spans="1:5" x14ac:dyDescent="0.25">
      <c r="A25" s="1">
        <v>24</v>
      </c>
      <c r="B25" s="1" t="s">
        <v>18</v>
      </c>
      <c r="C25" s="1" t="s">
        <v>13</v>
      </c>
      <c r="D25" s="12">
        <v>63</v>
      </c>
      <c r="E25" s="1">
        <v>5.0999999999999996</v>
      </c>
    </row>
    <row r="26" spans="1:5" x14ac:dyDescent="0.25">
      <c r="A26" s="1">
        <v>25</v>
      </c>
      <c r="B26" s="1" t="s">
        <v>19</v>
      </c>
      <c r="C26" s="1" t="s">
        <v>13</v>
      </c>
      <c r="D26" s="12">
        <v>88</v>
      </c>
      <c r="E26" s="1">
        <v>6.4</v>
      </c>
    </row>
    <row r="27" spans="1:5" x14ac:dyDescent="0.25">
      <c r="A27" s="1">
        <v>26</v>
      </c>
      <c r="B27" s="1" t="s">
        <v>20</v>
      </c>
      <c r="C27" s="1" t="s">
        <v>15</v>
      </c>
      <c r="D27" s="12">
        <v>48</v>
      </c>
      <c r="E27" s="1">
        <v>3.3</v>
      </c>
    </row>
    <row r="28" spans="1:5" x14ac:dyDescent="0.25">
      <c r="A28" s="1">
        <v>27</v>
      </c>
      <c r="B28" s="1" t="s">
        <v>18</v>
      </c>
      <c r="C28" s="1" t="s">
        <v>13</v>
      </c>
      <c r="D28" s="12">
        <v>92</v>
      </c>
      <c r="E28" s="1">
        <v>5.9</v>
      </c>
    </row>
    <row r="29" spans="1:5" x14ac:dyDescent="0.25">
      <c r="A29" s="1">
        <v>28</v>
      </c>
      <c r="B29" s="1" t="s">
        <v>14</v>
      </c>
      <c r="C29" s="1" t="s">
        <v>13</v>
      </c>
      <c r="D29" s="12">
        <v>73</v>
      </c>
      <c r="E29" s="1">
        <v>4.2</v>
      </c>
    </row>
    <row r="30" spans="1:5" x14ac:dyDescent="0.25">
      <c r="A30" s="1">
        <v>29</v>
      </c>
      <c r="B30" s="1" t="s">
        <v>16</v>
      </c>
      <c r="C30" s="1" t="s">
        <v>13</v>
      </c>
      <c r="D30" s="12">
        <v>103</v>
      </c>
      <c r="E30" s="1">
        <v>6.6</v>
      </c>
    </row>
    <row r="31" spans="1:5" x14ac:dyDescent="0.25">
      <c r="A31" s="1">
        <v>30</v>
      </c>
      <c r="B31" s="1" t="s">
        <v>18</v>
      </c>
      <c r="C31" s="1" t="s">
        <v>15</v>
      </c>
      <c r="D31" s="12">
        <v>52</v>
      </c>
      <c r="E31" s="1">
        <v>4</v>
      </c>
    </row>
    <row r="32" spans="1:5" x14ac:dyDescent="0.25">
      <c r="A32" s="1">
        <v>31</v>
      </c>
      <c r="B32" s="1" t="s">
        <v>19</v>
      </c>
      <c r="C32" s="1" t="s">
        <v>17</v>
      </c>
      <c r="D32" s="12">
        <v>112</v>
      </c>
      <c r="E32" s="1">
        <v>7.9</v>
      </c>
    </row>
    <row r="33" spans="1:5" x14ac:dyDescent="0.25">
      <c r="A33" s="1">
        <v>32</v>
      </c>
      <c r="B33" s="1" t="s">
        <v>20</v>
      </c>
      <c r="C33" s="1" t="s">
        <v>13</v>
      </c>
      <c r="D33" s="12">
        <v>68</v>
      </c>
      <c r="E33" s="1">
        <v>5</v>
      </c>
    </row>
    <row r="34" spans="1:5" x14ac:dyDescent="0.25">
      <c r="A34" s="1">
        <v>33</v>
      </c>
      <c r="B34" s="1" t="s">
        <v>18</v>
      </c>
      <c r="C34" s="1" t="s">
        <v>13</v>
      </c>
      <c r="D34" s="12">
        <v>82</v>
      </c>
      <c r="E34" s="1">
        <v>5.4</v>
      </c>
    </row>
    <row r="35" spans="1:5" x14ac:dyDescent="0.25">
      <c r="A35" s="1">
        <v>34</v>
      </c>
      <c r="B35" s="1" t="s">
        <v>14</v>
      </c>
      <c r="C35" s="1" t="s">
        <v>15</v>
      </c>
      <c r="D35" s="12">
        <v>38</v>
      </c>
      <c r="E35" s="1">
        <v>2.6</v>
      </c>
    </row>
    <row r="36" spans="1:5" x14ac:dyDescent="0.25">
      <c r="A36" s="1">
        <v>35</v>
      </c>
      <c r="B36" s="1" t="s">
        <v>16</v>
      </c>
      <c r="C36" s="1" t="s">
        <v>13</v>
      </c>
      <c r="D36" s="12">
        <v>98</v>
      </c>
      <c r="E36" s="1">
        <v>6.1</v>
      </c>
    </row>
    <row r="37" spans="1:5" x14ac:dyDescent="0.25">
      <c r="A37" s="1">
        <v>36</v>
      </c>
      <c r="B37" s="1" t="s">
        <v>18</v>
      </c>
      <c r="C37" s="1" t="s">
        <v>13</v>
      </c>
      <c r="D37" s="12">
        <v>71</v>
      </c>
      <c r="E37" s="1">
        <v>4.7</v>
      </c>
    </row>
    <row r="38" spans="1:5" x14ac:dyDescent="0.25">
      <c r="A38" s="1">
        <v>37</v>
      </c>
      <c r="B38" s="1" t="s">
        <v>19</v>
      </c>
      <c r="C38" s="1" t="s">
        <v>15</v>
      </c>
      <c r="D38" s="12">
        <v>42</v>
      </c>
      <c r="E38" s="1">
        <v>3.1</v>
      </c>
    </row>
    <row r="39" spans="1:5" x14ac:dyDescent="0.25">
      <c r="A39" s="1">
        <v>38</v>
      </c>
      <c r="B39" s="1" t="s">
        <v>20</v>
      </c>
      <c r="C39" s="1" t="s">
        <v>17</v>
      </c>
      <c r="D39" s="12">
        <v>132</v>
      </c>
      <c r="E39" s="1">
        <v>8.6</v>
      </c>
    </row>
    <row r="40" spans="1:5" x14ac:dyDescent="0.25">
      <c r="A40" s="1">
        <v>39</v>
      </c>
      <c r="B40" s="1" t="s">
        <v>18</v>
      </c>
      <c r="C40" s="1" t="s">
        <v>13</v>
      </c>
      <c r="D40" s="12">
        <v>107</v>
      </c>
      <c r="E40" s="1">
        <v>6.8</v>
      </c>
    </row>
    <row r="41" spans="1:5" x14ac:dyDescent="0.25">
      <c r="A41" s="1">
        <v>40</v>
      </c>
      <c r="B41" s="1" t="s">
        <v>14</v>
      </c>
      <c r="C41" s="1" t="s">
        <v>13</v>
      </c>
      <c r="D41" s="12">
        <v>83</v>
      </c>
      <c r="E41" s="1">
        <v>5.6</v>
      </c>
    </row>
    <row r="42" spans="1:5" x14ac:dyDescent="0.25">
      <c r="A42" s="1">
        <v>41</v>
      </c>
      <c r="B42" s="1" t="s">
        <v>18</v>
      </c>
      <c r="C42" s="1" t="s">
        <v>13</v>
      </c>
      <c r="D42" s="12">
        <v>78</v>
      </c>
      <c r="E42" s="1">
        <v>5</v>
      </c>
    </row>
    <row r="43" spans="1:5" x14ac:dyDescent="0.25">
      <c r="A43" s="1">
        <v>42</v>
      </c>
      <c r="B43" s="1" t="s">
        <v>14</v>
      </c>
      <c r="C43" s="1" t="s">
        <v>15</v>
      </c>
      <c r="D43" s="12">
        <v>36</v>
      </c>
      <c r="E43" s="1">
        <v>2.7</v>
      </c>
    </row>
    <row r="44" spans="1:5" x14ac:dyDescent="0.25">
      <c r="A44" s="1">
        <v>43</v>
      </c>
      <c r="B44" s="1" t="s">
        <v>16</v>
      </c>
      <c r="C44" s="1" t="s">
        <v>17</v>
      </c>
      <c r="D44" s="12">
        <v>128</v>
      </c>
      <c r="E44" s="1">
        <v>7.5</v>
      </c>
    </row>
    <row r="45" spans="1:5" x14ac:dyDescent="0.25">
      <c r="A45" s="1">
        <v>44</v>
      </c>
      <c r="B45" s="1" t="s">
        <v>18</v>
      </c>
      <c r="C45" s="1" t="s">
        <v>13</v>
      </c>
      <c r="D45" s="12">
        <v>65</v>
      </c>
      <c r="E45" s="1">
        <v>5.2</v>
      </c>
    </row>
    <row r="46" spans="1:5" x14ac:dyDescent="0.25">
      <c r="A46" s="1">
        <v>45</v>
      </c>
      <c r="B46" s="1" t="s">
        <v>19</v>
      </c>
      <c r="C46" s="1" t="s">
        <v>13</v>
      </c>
      <c r="D46" s="12">
        <v>90</v>
      </c>
      <c r="E46" s="1">
        <v>6.5</v>
      </c>
    </row>
    <row r="47" spans="1:5" x14ac:dyDescent="0.25">
      <c r="A47" s="1">
        <v>46</v>
      </c>
      <c r="B47" s="1" t="s">
        <v>20</v>
      </c>
      <c r="C47" s="1" t="s">
        <v>15</v>
      </c>
      <c r="D47" s="12">
        <v>47</v>
      </c>
      <c r="E47" s="1">
        <v>3.4</v>
      </c>
    </row>
    <row r="48" spans="1:5" x14ac:dyDescent="0.25">
      <c r="A48" s="1">
        <v>47</v>
      </c>
      <c r="B48" s="1" t="s">
        <v>18</v>
      </c>
      <c r="C48" s="1" t="s">
        <v>13</v>
      </c>
      <c r="D48" s="12">
        <v>95</v>
      </c>
      <c r="E48" s="1">
        <v>6</v>
      </c>
    </row>
    <row r="49" spans="1:5" x14ac:dyDescent="0.25">
      <c r="A49" s="1">
        <v>48</v>
      </c>
      <c r="B49" s="1" t="s">
        <v>14</v>
      </c>
      <c r="C49" s="1" t="s">
        <v>13</v>
      </c>
      <c r="D49" s="12">
        <v>75</v>
      </c>
      <c r="E49" s="1">
        <v>4.3</v>
      </c>
    </row>
    <row r="50" spans="1:5" x14ac:dyDescent="0.25">
      <c r="A50" s="1">
        <v>49</v>
      </c>
      <c r="B50" s="1" t="s">
        <v>16</v>
      </c>
      <c r="C50" s="1" t="s">
        <v>13</v>
      </c>
      <c r="D50" s="12">
        <v>105</v>
      </c>
      <c r="E50" s="1">
        <v>6.7</v>
      </c>
    </row>
    <row r="51" spans="1:5" x14ac:dyDescent="0.25">
      <c r="A51" s="1">
        <v>50</v>
      </c>
      <c r="B51" s="1" t="s">
        <v>18</v>
      </c>
      <c r="C51" s="1" t="s">
        <v>15</v>
      </c>
      <c r="D51" s="12">
        <v>55</v>
      </c>
      <c r="E51" s="1">
        <v>4.0999999999999996</v>
      </c>
    </row>
  </sheetData>
  <mergeCells count="2">
    <mergeCell ref="K9:M9"/>
    <mergeCell ref="P9:Q9"/>
  </mergeCells>
  <dataValidations count="3">
    <dataValidation type="custom" allowBlank="1" showDropDown="1" sqref="A2:A51 D2:E51" xr:uid="{FF770FEA-1913-4EC3-85F2-164C128DB5EF}">
      <formula1>AND(ISNUMBER(A2),(NOT(OR(NOT(ISERROR(DATEVALUE(A2))), AND(ISNUMBER(A2), LEFT(CELL("format", A2))="D")))))</formula1>
    </dataValidation>
    <dataValidation type="list" allowBlank="1" sqref="C2:C51" xr:uid="{91C1DB53-B9FB-4888-971C-3DAF687D61B7}">
      <formula1>"Medio,Bajo,Alto"</formula1>
    </dataValidation>
    <dataValidation type="list" allowBlank="1" sqref="B2:B51" xr:uid="{F839B76B-94D0-4109-AECC-A9517F4F624F}">
      <formula1>"México,Colombia,Argentina,Chile,Perú"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8e4da4-1d81-436a-b870-432beca033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D22914E644E146926626591175AFE3" ma:contentTypeVersion="6" ma:contentTypeDescription="Crear nuevo documento." ma:contentTypeScope="" ma:versionID="73d6ceb25b153feb3fb89adfed56f2c4">
  <xsd:schema xmlns:xsd="http://www.w3.org/2001/XMLSchema" xmlns:xs="http://www.w3.org/2001/XMLSchema" xmlns:p="http://schemas.microsoft.com/office/2006/metadata/properties" xmlns:ns3="7d8e4da4-1d81-436a-b870-432beca033e5" targetNamespace="http://schemas.microsoft.com/office/2006/metadata/properties" ma:root="true" ma:fieldsID="cd85f93e090c145657c5996e1fcf33bf" ns3:_="">
    <xsd:import namespace="7d8e4da4-1d81-436a-b870-432beca033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4da4-1d81-436a-b870-432beca03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FFB93-BBBA-4CDB-8C8B-53C53040ED98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7d8e4da4-1d81-436a-b870-432beca033e5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B6F11E1-12E6-444A-A4ED-00EF773226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AE6AF-C1E3-464F-BB7F-159D639EB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e4da4-1d81-436a-b870-432beca03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ANYELA KATERINE RENTERIA CUAMA</dc:creator>
  <cp:lastModifiedBy>ANYELA KATERINE RENTERIA CUAMA</cp:lastModifiedBy>
  <dcterms:created xsi:type="dcterms:W3CDTF">2026-06-13T18:35:30Z</dcterms:created>
  <dcterms:modified xsi:type="dcterms:W3CDTF">2026-06-14T23:37:46Z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0x01010048D22914E644E146926626591175AFE3</vt:lpwstr>
  </property>
</Properties>
</file>